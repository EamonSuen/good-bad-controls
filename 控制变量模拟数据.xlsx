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amonsuen/Downloads/"/>
    </mc:Choice>
  </mc:AlternateContent>
  <xr:revisionPtr revIDLastSave="0" documentId="13_ncr:1_{06F43B9B-3393-DF47-845B-4DB3F6CE2465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表1 模拟数据" sheetId="1" r:id="rId1"/>
    <sheet name="表2 估计方法比较" sheetId="2" r:id="rId2"/>
    <sheet name="分块计算过程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3" l="1"/>
  <c r="E30" i="3"/>
  <c r="J30" i="3" s="1"/>
  <c r="D30" i="3"/>
  <c r="K30" i="3" s="1"/>
  <c r="C30" i="3"/>
  <c r="F30" i="3" s="1"/>
  <c r="E29" i="3"/>
  <c r="J29" i="3" s="1"/>
  <c r="D29" i="3"/>
  <c r="C29" i="3"/>
  <c r="F29" i="3" s="1"/>
  <c r="E28" i="3"/>
  <c r="J28" i="3" s="1"/>
  <c r="D28" i="3"/>
  <c r="I28" i="3" s="1"/>
  <c r="C28" i="3"/>
  <c r="F28" i="3" s="1"/>
  <c r="F27" i="3"/>
  <c r="E27" i="3"/>
  <c r="J27" i="3" s="1"/>
  <c r="D27" i="3"/>
  <c r="C27" i="3"/>
  <c r="G26" i="3"/>
  <c r="H26" i="3" s="1"/>
  <c r="E26" i="3"/>
  <c r="K26" i="3" s="1"/>
  <c r="D26" i="3"/>
  <c r="I26" i="3" s="1"/>
  <c r="C26" i="3"/>
  <c r="F26" i="3" s="1"/>
  <c r="B21" i="3"/>
  <c r="B20" i="3"/>
  <c r="B22" i="3" s="1"/>
  <c r="B34" i="3" s="1"/>
  <c r="I15" i="1"/>
  <c r="K14" i="1"/>
  <c r="I14" i="1"/>
  <c r="I13" i="1"/>
  <c r="K12" i="1"/>
  <c r="J12" i="1"/>
  <c r="I12" i="1"/>
  <c r="I11" i="1"/>
  <c r="I10" i="1"/>
  <c r="K9" i="1"/>
  <c r="J9" i="1"/>
  <c r="I9" i="1"/>
  <c r="I8" i="1"/>
  <c r="I7" i="1"/>
  <c r="K6" i="1"/>
  <c r="J6" i="1"/>
  <c r="I6" i="1"/>
  <c r="I5" i="1"/>
  <c r="K4" i="1"/>
  <c r="I4" i="1"/>
  <c r="L27" i="3" l="1"/>
  <c r="L28" i="3"/>
  <c r="L29" i="3"/>
  <c r="G27" i="3"/>
  <c r="H27" i="3" s="1"/>
  <c r="K28" i="3"/>
  <c r="J26" i="3"/>
  <c r="I27" i="3"/>
  <c r="K27" i="3" s="1"/>
  <c r="G30" i="3"/>
  <c r="H30" i="3" s="1"/>
  <c r="I30" i="3"/>
  <c r="G29" i="3"/>
  <c r="H29" i="3" s="1"/>
  <c r="M29" i="3" s="1"/>
  <c r="I29" i="3"/>
  <c r="K29" i="3" s="1"/>
  <c r="G28" i="3"/>
  <c r="H28" i="3" s="1"/>
  <c r="M28" i="3" s="1"/>
  <c r="M27" i="3" l="1"/>
  <c r="B36" i="3" s="1"/>
  <c r="B35" i="3"/>
</calcChain>
</file>

<file path=xl/sharedStrings.xml><?xml version="1.0" encoding="utf-8"?>
<sst xmlns="http://schemas.openxmlformats.org/spreadsheetml/2006/main" count="79" uniqueCount="63">
  <si>
    <t>Y</t>
  </si>
  <si>
    <t>Y(1)</t>
  </si>
  <si>
    <t>Y(0)</t>
  </si>
  <si>
    <t>CATE</t>
  </si>
  <si>
    <t>N/A*</t>
  </si>
  <si>
    <t>Pr(X=x)</t>
  </si>
  <si>
    <t>e=n_t/n</t>
  </si>
  <si>
    <t>var(D|X)</t>
  </si>
  <si>
    <t>E[Y|D=1,X]</t>
  </si>
  <si>
    <t>E[Y|D=0,X]</t>
  </si>
  <si>
    <t>τ(X)</t>
  </si>
  <si>
    <t>N/A</t>
  </si>
  <si>
    <r>
      <rPr>
        <b/>
        <sz val="14"/>
        <rFont val="仿宋"/>
        <family val="3"/>
        <charset val="134"/>
      </rPr>
      <t>分块随机化实验的完整计算过程</t>
    </r>
  </si>
  <si>
    <r>
      <rPr>
        <b/>
        <sz val="12"/>
        <rFont val="仿宋"/>
        <family val="3"/>
        <charset val="134"/>
      </rPr>
      <t>一、原始数据（来自表</t>
    </r>
    <r>
      <rPr>
        <b/>
        <sz val="12"/>
        <rFont val="Times New Roman"/>
        <family val="1"/>
      </rPr>
      <t>1</t>
    </r>
    <r>
      <rPr>
        <b/>
        <sz val="12"/>
        <rFont val="仿宋"/>
        <family val="3"/>
        <charset val="134"/>
      </rPr>
      <t>）</t>
    </r>
  </si>
  <si>
    <r>
      <rPr>
        <b/>
        <sz val="11"/>
        <color rgb="FFFFFFFF"/>
        <rFont val="仿宋"/>
        <family val="3"/>
        <charset val="134"/>
      </rPr>
      <t>编号</t>
    </r>
  </si>
  <si>
    <r>
      <t>D(</t>
    </r>
    <r>
      <rPr>
        <b/>
        <sz val="11"/>
        <color rgb="FFFFFFFF"/>
        <rFont val="仿宋"/>
        <family val="3"/>
        <charset val="134"/>
      </rPr>
      <t>上大学</t>
    </r>
    <r>
      <rPr>
        <b/>
        <sz val="11"/>
        <color rgb="FFFFFFFF"/>
        <rFont val="Times New Roman"/>
        <family val="1"/>
      </rPr>
      <t>)</t>
    </r>
  </si>
  <si>
    <r>
      <t>X(</t>
    </r>
    <r>
      <rPr>
        <b/>
        <sz val="11"/>
        <color rgb="FFFFFFFF"/>
        <rFont val="仿宋"/>
        <family val="3"/>
        <charset val="134"/>
      </rPr>
      <t>能力</t>
    </r>
    <r>
      <rPr>
        <b/>
        <sz val="11"/>
        <color rgb="FFFFFFFF"/>
        <rFont val="Times New Roman"/>
        <family val="1"/>
      </rPr>
      <t>)</t>
    </r>
  </si>
  <si>
    <r>
      <t>Y(</t>
    </r>
    <r>
      <rPr>
        <b/>
        <sz val="11"/>
        <color rgb="FFFFFFFF"/>
        <rFont val="仿宋"/>
        <family val="3"/>
        <charset val="134"/>
      </rPr>
      <t>收入</t>
    </r>
    <r>
      <rPr>
        <b/>
        <sz val="11"/>
        <color rgb="FFFFFFFF"/>
        <rFont val="Times New Roman"/>
        <family val="1"/>
      </rPr>
      <t>)</t>
    </r>
  </si>
  <si>
    <r>
      <rPr>
        <b/>
        <sz val="11"/>
        <color rgb="FFFFFFFF"/>
        <rFont val="仿宋"/>
        <family val="3"/>
        <charset val="134"/>
      </rPr>
      <t>分块</t>
    </r>
  </si>
  <si>
    <r>
      <rPr>
        <b/>
        <sz val="12"/>
        <rFont val="仿宋"/>
        <family val="3"/>
        <charset val="134"/>
      </rPr>
      <t>二、简单均值差异（</t>
    </r>
    <r>
      <rPr>
        <b/>
        <sz val="12"/>
        <rFont val="Times New Roman"/>
        <family val="1"/>
      </rPr>
      <t>SDM</t>
    </r>
    <r>
      <rPr>
        <b/>
        <sz val="12"/>
        <rFont val="仿宋"/>
        <family val="3"/>
        <charset val="134"/>
      </rPr>
      <t>）</t>
    </r>
  </si>
  <si>
    <r>
      <rPr>
        <sz val="11"/>
        <rFont val="仿宋"/>
        <family val="3"/>
        <charset val="134"/>
      </rPr>
      <t>处理组均值</t>
    </r>
    <r>
      <rPr>
        <sz val="11"/>
        <rFont val="Times New Roman"/>
        <family val="1"/>
      </rPr>
      <t xml:space="preserve"> E[Y|D=1]</t>
    </r>
  </si>
  <si>
    <r>
      <rPr>
        <sz val="11"/>
        <rFont val="仿宋"/>
        <family val="3"/>
        <charset val="134"/>
      </rPr>
      <t>对照组均值</t>
    </r>
    <r>
      <rPr>
        <sz val="11"/>
        <rFont val="Times New Roman"/>
        <family val="1"/>
      </rPr>
      <t xml:space="preserve"> E[Y|D=0]</t>
    </r>
  </si>
  <si>
    <r>
      <t xml:space="preserve">SDM = </t>
    </r>
    <r>
      <rPr>
        <b/>
        <sz val="11"/>
        <rFont val="仿宋"/>
        <family val="3"/>
        <charset val="134"/>
      </rPr>
      <t>处理组</t>
    </r>
    <r>
      <rPr>
        <b/>
        <sz val="11"/>
        <rFont val="Times New Roman"/>
        <family val="1"/>
      </rPr>
      <t xml:space="preserve"> - </t>
    </r>
    <r>
      <rPr>
        <b/>
        <sz val="11"/>
        <rFont val="仿宋"/>
        <family val="3"/>
        <charset val="134"/>
      </rPr>
      <t>对照组</t>
    </r>
  </si>
  <si>
    <r>
      <rPr>
        <b/>
        <sz val="12"/>
        <rFont val="仿宋"/>
        <family val="3"/>
        <charset val="134"/>
      </rPr>
      <t>三、分块估计（精确匹配估计量）</t>
    </r>
  </si>
  <si>
    <r>
      <rPr>
        <b/>
        <sz val="11"/>
        <color rgb="FFFFFFFF"/>
        <rFont val="仿宋"/>
        <family val="3"/>
        <charset val="134"/>
      </rPr>
      <t>能力</t>
    </r>
    <r>
      <rPr>
        <b/>
        <sz val="11"/>
        <color rgb="FFFFFFFF"/>
        <rFont val="Times New Roman"/>
        <family val="1"/>
      </rPr>
      <t>X</t>
    </r>
  </si>
  <si>
    <r>
      <rPr>
        <b/>
        <sz val="11"/>
        <color rgb="FFFFFFFF"/>
        <rFont val="仿宋"/>
        <family val="3"/>
        <charset val="134"/>
      </rPr>
      <t>样本量</t>
    </r>
    <r>
      <rPr>
        <b/>
        <sz val="11"/>
        <color rgb="FFFFFFFF"/>
        <rFont val="Times New Roman"/>
        <family val="1"/>
      </rPr>
      <t>n</t>
    </r>
  </si>
  <si>
    <r>
      <rPr>
        <b/>
        <sz val="11"/>
        <color rgb="FFFFFFFF"/>
        <rFont val="仿宋"/>
        <family val="3"/>
        <charset val="134"/>
      </rPr>
      <t>处理组</t>
    </r>
    <r>
      <rPr>
        <b/>
        <sz val="11"/>
        <color rgb="FFFFFFFF"/>
        <rFont val="Times New Roman"/>
        <family val="1"/>
      </rPr>
      <t>n_t</t>
    </r>
  </si>
  <si>
    <r>
      <rPr>
        <b/>
        <sz val="11"/>
        <color rgb="FFFFFFFF"/>
        <rFont val="仿宋"/>
        <family val="3"/>
        <charset val="134"/>
      </rPr>
      <t>对照组</t>
    </r>
    <r>
      <rPr>
        <b/>
        <sz val="11"/>
        <color rgb="FFFFFFFF"/>
        <rFont val="Times New Roman"/>
        <family val="1"/>
      </rPr>
      <t>n_c</t>
    </r>
  </si>
  <si>
    <r>
      <rPr>
        <b/>
        <sz val="11"/>
        <color rgb="FFFFFFFF"/>
        <rFont val="仿宋"/>
        <family val="3"/>
        <charset val="134"/>
      </rPr>
      <t>精确匹配权重</t>
    </r>
  </si>
  <si>
    <r>
      <rPr>
        <b/>
        <sz val="11"/>
        <color rgb="FFFFFFFF"/>
        <rFont val="仿宋"/>
        <family val="3"/>
        <charset val="134"/>
      </rPr>
      <t>饱和回归权重</t>
    </r>
  </si>
  <si>
    <r>
      <rPr>
        <b/>
        <sz val="12"/>
        <rFont val="仿宋"/>
        <family val="3"/>
        <charset val="134"/>
      </rPr>
      <t>四、最终估计结果</t>
    </r>
  </si>
  <si>
    <r>
      <t>SDM</t>
    </r>
    <r>
      <rPr>
        <b/>
        <sz val="11"/>
        <rFont val="仿宋"/>
        <family val="3"/>
        <charset val="134"/>
      </rPr>
      <t>（不控制）</t>
    </r>
  </si>
  <si>
    <r>
      <rPr>
        <i/>
        <sz val="10"/>
        <color rgb="FF666666"/>
        <rFont val="仿宋"/>
        <family val="3"/>
        <charset val="134"/>
      </rPr>
      <t>（有偏，包含选择性偏误）</t>
    </r>
  </si>
  <si>
    <r>
      <rPr>
        <b/>
        <sz val="11"/>
        <rFont val="仿宋"/>
        <family val="3"/>
        <charset val="134"/>
      </rPr>
      <t>精确匹配</t>
    </r>
    <r>
      <rPr>
        <b/>
        <sz val="11"/>
        <rFont val="Times New Roman"/>
        <family val="1"/>
      </rPr>
      <t>ATE = Σ w_match × τ(X)</t>
    </r>
  </si>
  <si>
    <r>
      <rPr>
        <i/>
        <sz val="10"/>
        <color rgb="FF666666"/>
        <rFont val="仿宋"/>
        <family val="3"/>
        <charset val="134"/>
      </rPr>
      <t>权重只看样本占比</t>
    </r>
    <r>
      <rPr>
        <i/>
        <sz val="10"/>
        <color rgb="FF666666"/>
        <rFont val="Times New Roman"/>
        <family val="1"/>
      </rPr>
      <t xml:space="preserve"> Pr(X)</t>
    </r>
  </si>
  <si>
    <r>
      <rPr>
        <b/>
        <sz val="11"/>
        <rFont val="仿宋"/>
        <family val="3"/>
        <charset val="134"/>
      </rPr>
      <t>饱和回归</t>
    </r>
    <r>
      <rPr>
        <b/>
        <sz val="11"/>
        <rFont val="Times New Roman"/>
        <family val="1"/>
      </rPr>
      <t>ATE = Σ w_sat × τ(X)</t>
    </r>
  </si>
  <si>
    <r>
      <rPr>
        <i/>
        <sz val="10"/>
        <color rgb="FF666666"/>
        <rFont val="仿宋"/>
        <family val="3"/>
        <charset val="134"/>
      </rPr>
      <t>权重还看</t>
    </r>
    <r>
      <rPr>
        <i/>
        <sz val="10"/>
        <color rgb="FF666666"/>
        <rFont val="Times New Roman"/>
        <family val="1"/>
      </rPr>
      <t xml:space="preserve"> var(D|X)</t>
    </r>
  </si>
  <si>
    <r>
      <rPr>
        <b/>
        <sz val="12"/>
        <rFont val="仿宋"/>
        <family val="3"/>
        <charset val="134"/>
      </rPr>
      <t>五、真实平均处理效应（用潜在结果计算）</t>
    </r>
  </si>
  <si>
    <r>
      <rPr>
        <b/>
        <sz val="11"/>
        <rFont val="仿宋"/>
        <family val="3"/>
        <charset val="134"/>
      </rPr>
      <t>真实</t>
    </r>
    <r>
      <rPr>
        <b/>
        <sz val="11"/>
        <rFont val="Times New Roman"/>
        <family val="1"/>
      </rPr>
      <t>ATE = E[Y(1)-Y(0)]</t>
    </r>
  </si>
  <si>
    <r>
      <rPr>
        <i/>
        <sz val="10"/>
        <color rgb="FF666666"/>
        <rFont val="仿宋"/>
        <family val="3"/>
        <charset val="134"/>
      </rPr>
      <t>（使用全部潜在结果，现实中不可观测）</t>
    </r>
  </si>
  <si>
    <r>
      <rPr>
        <b/>
        <sz val="14"/>
        <rFont val="仿宋"/>
        <family val="3"/>
        <charset val="134"/>
      </rPr>
      <t>表</t>
    </r>
    <r>
      <rPr>
        <b/>
        <sz val="14"/>
        <rFont val="Times New Roman"/>
        <family val="1"/>
      </rPr>
      <t xml:space="preserve">2  </t>
    </r>
    <r>
      <rPr>
        <b/>
        <sz val="14"/>
        <rFont val="仿宋"/>
        <family val="3"/>
        <charset val="134"/>
      </rPr>
      <t>不同估计方法的结果比较</t>
    </r>
  </si>
  <si>
    <r>
      <t xml:space="preserve">(1)
</t>
    </r>
    <r>
      <rPr>
        <b/>
        <sz val="11"/>
        <color rgb="FFFFFFFF"/>
        <rFont val="仿宋"/>
        <family val="3"/>
        <charset val="134"/>
      </rPr>
      <t>简单均值差异</t>
    </r>
  </si>
  <si>
    <r>
      <t xml:space="preserve">(2)
</t>
    </r>
    <r>
      <rPr>
        <b/>
        <sz val="11"/>
        <color rgb="FFFFFFFF"/>
        <rFont val="仿宋"/>
        <family val="3"/>
        <charset val="134"/>
      </rPr>
      <t>精确匹配估计</t>
    </r>
  </si>
  <si>
    <r>
      <t xml:space="preserve">(3)
</t>
    </r>
    <r>
      <rPr>
        <b/>
        <sz val="11"/>
        <color rgb="FFFFFFFF"/>
        <rFont val="仿宋"/>
        <family val="3"/>
        <charset val="134"/>
      </rPr>
      <t xml:space="preserve">饱和回归
</t>
    </r>
    <r>
      <rPr>
        <b/>
        <sz val="11"/>
        <color rgb="FFFFFFFF"/>
        <rFont val="Times New Roman"/>
        <family val="1"/>
      </rPr>
      <t>(</t>
    </r>
    <r>
      <rPr>
        <b/>
        <sz val="11"/>
        <color rgb="FFFFFFFF"/>
        <rFont val="仿宋"/>
        <family val="3"/>
        <charset val="134"/>
      </rPr>
      <t>全样本</t>
    </r>
    <r>
      <rPr>
        <b/>
        <sz val="11"/>
        <color rgb="FFFFFFFF"/>
        <rFont val="Times New Roman"/>
        <family val="1"/>
      </rPr>
      <t>)</t>
    </r>
  </si>
  <si>
    <r>
      <t xml:space="preserve">(4)
</t>
    </r>
    <r>
      <rPr>
        <b/>
        <sz val="11"/>
        <color rgb="FFFFFFFF"/>
        <rFont val="仿宋"/>
        <family val="3"/>
        <charset val="134"/>
      </rPr>
      <t xml:space="preserve">饱和回归
</t>
    </r>
    <r>
      <rPr>
        <b/>
        <sz val="11"/>
        <color rgb="FFFFFFFF"/>
        <rFont val="Times New Roman"/>
        <family val="1"/>
      </rPr>
      <t>(</t>
    </r>
    <r>
      <rPr>
        <b/>
        <sz val="11"/>
        <color rgb="FFFFFFFF"/>
        <rFont val="仿宋"/>
        <family val="3"/>
        <charset val="134"/>
      </rPr>
      <t>重叠样本</t>
    </r>
    <r>
      <rPr>
        <b/>
        <sz val="11"/>
        <color rgb="FFFFFFFF"/>
        <rFont val="Times New Roman"/>
        <family val="1"/>
      </rPr>
      <t>)</t>
    </r>
  </si>
  <si>
    <r>
      <t xml:space="preserve">(5)
</t>
    </r>
    <r>
      <rPr>
        <b/>
        <sz val="11"/>
        <color rgb="FFFFFFFF"/>
        <rFont val="仿宋"/>
        <family val="3"/>
        <charset val="134"/>
      </rPr>
      <t>饱和回归</t>
    </r>
    <r>
      <rPr>
        <b/>
        <sz val="11"/>
        <color rgb="FFFFFFFF"/>
        <rFont val="Times New Roman"/>
        <family val="1"/>
      </rPr>
      <t xml:space="preserve">+
</t>
    </r>
    <r>
      <rPr>
        <b/>
        <sz val="11"/>
        <color rgb="FFFFFFFF"/>
        <rFont val="仿宋"/>
        <family val="3"/>
        <charset val="134"/>
      </rPr>
      <t>调整权重</t>
    </r>
  </si>
  <si>
    <r>
      <t xml:space="preserve">(6)
</t>
    </r>
    <r>
      <rPr>
        <b/>
        <sz val="11"/>
        <color rgb="FFFFFFFF"/>
        <rFont val="仿宋"/>
        <family val="3"/>
        <charset val="134"/>
      </rPr>
      <t xml:space="preserve">多元线性回归
</t>
    </r>
    <r>
      <rPr>
        <b/>
        <sz val="11"/>
        <color rgb="FFFFFFFF"/>
        <rFont val="Times New Roman"/>
        <family val="1"/>
      </rPr>
      <t>(</t>
    </r>
    <r>
      <rPr>
        <b/>
        <sz val="11"/>
        <color rgb="FFFFFFFF"/>
        <rFont val="仿宋"/>
        <family val="3"/>
        <charset val="134"/>
      </rPr>
      <t>全样本</t>
    </r>
    <r>
      <rPr>
        <b/>
        <sz val="11"/>
        <color rgb="FFFFFFFF"/>
        <rFont val="Times New Roman"/>
        <family val="1"/>
      </rPr>
      <t>)</t>
    </r>
  </si>
  <si>
    <r>
      <t>ATT</t>
    </r>
    <r>
      <rPr>
        <b/>
        <sz val="11"/>
        <rFont val="仿宋"/>
        <family val="3"/>
        <charset val="134"/>
      </rPr>
      <t>估计值</t>
    </r>
  </si>
  <si>
    <r>
      <rPr>
        <b/>
        <sz val="11"/>
        <rFont val="仿宋"/>
        <family val="3"/>
        <charset val="134"/>
      </rPr>
      <t>是否控制能力</t>
    </r>
  </si>
  <si>
    <r>
      <rPr>
        <sz val="11"/>
        <rFont val="仿宋"/>
        <family val="3"/>
        <charset val="134"/>
      </rPr>
      <t>不控制</t>
    </r>
  </si>
  <si>
    <r>
      <rPr>
        <sz val="11"/>
        <rFont val="仿宋"/>
        <family val="3"/>
        <charset val="134"/>
      </rPr>
      <t>控制</t>
    </r>
  </si>
  <si>
    <r>
      <rPr>
        <b/>
        <sz val="11"/>
        <rFont val="仿宋"/>
        <family val="3"/>
        <charset val="134"/>
      </rPr>
      <t>样本范围</t>
    </r>
  </si>
  <si>
    <r>
      <rPr>
        <sz val="11"/>
        <rFont val="仿宋"/>
        <family val="3"/>
        <charset val="134"/>
      </rPr>
      <t>全样本</t>
    </r>
  </si>
  <si>
    <r>
      <rPr>
        <sz val="11"/>
        <rFont val="仿宋"/>
        <family val="3"/>
        <charset val="134"/>
      </rPr>
      <t>重叠样本</t>
    </r>
  </si>
  <si>
    <r>
      <rPr>
        <b/>
        <sz val="11"/>
        <rFont val="仿宋"/>
        <family val="3"/>
        <charset val="134"/>
      </rPr>
      <t>样本数</t>
    </r>
  </si>
  <si>
    <r>
      <rPr>
        <b/>
        <sz val="14"/>
        <rFont val="仿宋"/>
        <family val="3"/>
        <charset val="134"/>
      </rPr>
      <t>表</t>
    </r>
    <r>
      <rPr>
        <b/>
        <sz val="14"/>
        <rFont val="Times New Roman"/>
        <family val="1"/>
      </rPr>
      <t xml:space="preserve">1  </t>
    </r>
    <r>
      <rPr>
        <b/>
        <sz val="14"/>
        <rFont val="仿宋"/>
        <family val="3"/>
        <charset val="134"/>
      </rPr>
      <t>模拟数据：大学教育与个人收入</t>
    </r>
  </si>
  <si>
    <r>
      <rPr>
        <b/>
        <sz val="11"/>
        <color rgb="FFFFFFFF"/>
        <rFont val="仿宋"/>
        <family val="3"/>
        <charset val="134"/>
      </rPr>
      <t>按能力分块</t>
    </r>
  </si>
  <si>
    <r>
      <rPr>
        <b/>
        <sz val="11"/>
        <color rgb="FFFFFFFF"/>
        <rFont val="仿宋"/>
        <family val="3"/>
        <charset val="134"/>
      </rPr>
      <t xml:space="preserve">上大学
</t>
    </r>
    <r>
      <rPr>
        <b/>
        <sz val="11"/>
        <color rgb="FFFFFFFF"/>
        <rFont val="Times New Roman"/>
        <family val="1"/>
      </rPr>
      <t>(D=1)</t>
    </r>
  </si>
  <si>
    <r>
      <rPr>
        <b/>
        <sz val="11"/>
        <color rgb="FFFFFFFF"/>
        <rFont val="仿宋"/>
        <family val="3"/>
        <charset val="134"/>
      </rPr>
      <t xml:space="preserve">未上大学
</t>
    </r>
    <r>
      <rPr>
        <b/>
        <sz val="11"/>
        <color rgb="FFFFFFFF"/>
        <rFont val="Times New Roman"/>
        <family val="1"/>
      </rPr>
      <t>(D=0)</t>
    </r>
  </si>
  <si>
    <r>
      <rPr>
        <b/>
        <sz val="11"/>
        <color rgb="FFFFFFFF"/>
        <rFont val="仿宋"/>
        <family val="3"/>
        <charset val="134"/>
      </rPr>
      <t>能力</t>
    </r>
    <r>
      <rPr>
        <b/>
        <sz val="11"/>
        <color rgb="FFFFFFFF"/>
        <rFont val="Times New Roman"/>
        <family val="1"/>
      </rPr>
      <t>(X)</t>
    </r>
  </si>
  <si>
    <r>
      <rPr>
        <b/>
        <sz val="11"/>
        <color rgb="FFFFFFFF"/>
        <rFont val="仿宋"/>
        <family val="3"/>
        <charset val="134"/>
      </rPr>
      <t>个体因果效应</t>
    </r>
  </si>
  <si>
    <r>
      <rPr>
        <b/>
        <sz val="11"/>
        <color rgb="FFFFFFFF"/>
        <rFont val="仿宋"/>
        <family val="3"/>
        <charset val="134"/>
      </rPr>
      <t>样本占比</t>
    </r>
  </si>
  <si>
    <r>
      <rPr>
        <i/>
        <sz val="10"/>
        <rFont val="仿宋"/>
        <family val="3"/>
        <charset val="134"/>
      </rPr>
      <t>注：</t>
    </r>
    <r>
      <rPr>
        <i/>
        <sz val="10"/>
        <rFont val="Times New Roman"/>
        <family val="1"/>
      </rPr>
      <t>CATE</t>
    </r>
    <r>
      <rPr>
        <i/>
        <sz val="10"/>
        <rFont val="仿宋"/>
        <family val="3"/>
        <charset val="134"/>
      </rPr>
      <t>是条件平均处理效应。分块</t>
    </r>
    <r>
      <rPr>
        <i/>
        <sz val="10"/>
        <rFont val="Times New Roman"/>
        <family val="1"/>
      </rPr>
      <t>1</t>
    </r>
    <r>
      <rPr>
        <i/>
        <sz val="10"/>
        <rFont val="仿宋"/>
        <family val="3"/>
        <charset val="134"/>
      </rPr>
      <t>只有处理组，分块</t>
    </r>
    <r>
      <rPr>
        <i/>
        <sz val="10"/>
        <rFont val="Times New Roman"/>
        <family val="1"/>
      </rPr>
      <t>5</t>
    </r>
    <r>
      <rPr>
        <i/>
        <sz val="10"/>
        <rFont val="仿宋"/>
        <family val="3"/>
        <charset val="134"/>
      </rPr>
      <t>只有控制组，</t>
    </r>
    <r>
      <rPr>
        <i/>
        <sz val="10"/>
        <rFont val="Times New Roman"/>
        <family val="1"/>
      </rPr>
      <t>CATE</t>
    </r>
    <r>
      <rPr>
        <i/>
        <sz val="10"/>
        <rFont val="仿宋"/>
        <family val="3"/>
        <charset val="134"/>
      </rPr>
      <t>无法被估计，以</t>
    </r>
    <r>
      <rPr>
        <i/>
        <sz val="10"/>
        <rFont val="Times New Roman"/>
        <family val="1"/>
      </rPr>
      <t>N/A*</t>
    </r>
    <r>
      <rPr>
        <i/>
        <sz val="10"/>
        <rFont val="仿宋"/>
        <family val="3"/>
        <charset val="134"/>
      </rPr>
      <t>标注。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</si>
</sst>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0">
    <font>
      <sz val="11"/>
      <color theme="1"/>
      <name val="Calibri"/>
      <family val="2"/>
      <charset val="1"/>
    </font>
    <font>
      <sz val="9"/>
      <name val="FangSong"/>
      <family val="3"/>
      <charset val="134"/>
    </font>
    <font>
      <b/>
      <sz val="14"/>
      <name val="仿宋"/>
      <family val="3"/>
      <charset val="134"/>
    </font>
    <font>
      <b/>
      <sz val="12"/>
      <name val="仿宋"/>
      <family val="3"/>
      <charset val="134"/>
    </font>
    <font>
      <b/>
      <sz val="11"/>
      <color rgb="FFFFFFFF"/>
      <name val="仿宋"/>
      <family val="3"/>
      <charset val="134"/>
    </font>
    <font>
      <sz val="11"/>
      <name val="仿宋"/>
      <family val="3"/>
      <charset val="134"/>
    </font>
    <font>
      <b/>
      <sz val="11"/>
      <name val="仿宋"/>
      <family val="3"/>
      <charset val="134"/>
    </font>
    <font>
      <i/>
      <sz val="10"/>
      <color rgb="FF666666"/>
      <name val="仿宋"/>
      <family val="3"/>
      <charset val="134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rgb="FF0000FF"/>
      <name val="Times New Roman"/>
      <family val="1"/>
    </font>
    <font>
      <i/>
      <sz val="10"/>
      <color rgb="FF666666"/>
      <name val="Times New Roman"/>
      <family val="1"/>
    </font>
    <font>
      <b/>
      <sz val="12"/>
      <color rgb="FFFF0000"/>
      <name val="Times New Roman"/>
      <family val="1"/>
    </font>
    <font>
      <i/>
      <sz val="10"/>
      <name val="仿宋"/>
      <family val="3"/>
      <charset val="134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CE4EC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FFFFF"/>
      </patternFill>
    </fill>
    <fill>
      <patternFill patternType="solid">
        <fgColor rgb="FFF3E5F5"/>
        <bgColor rgb="FFFCE4EC"/>
      </patternFill>
    </fill>
    <fill>
      <patternFill patternType="solid">
        <fgColor rgb="FFD6E4F0"/>
        <b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0" borderId="1" xfId="0" applyFont="1" applyBorder="1"/>
    <xf numFmtId="176" fontId="9" fillId="0" borderId="1" xfId="0" applyNumberFormat="1" applyFont="1" applyBorder="1"/>
    <xf numFmtId="0" fontId="13" fillId="0" borderId="1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/>
    <xf numFmtId="0" fontId="15" fillId="0" borderId="1" xfId="0" applyFont="1" applyBorder="1"/>
    <xf numFmtId="0" fontId="13" fillId="0" borderId="0" xfId="0" applyFont="1"/>
    <xf numFmtId="176" fontId="16" fillId="0" borderId="0" xfId="0" applyNumberFormat="1" applyFont="1"/>
    <xf numFmtId="0" fontId="15" fillId="0" borderId="0" xfId="0" applyFont="1"/>
    <xf numFmtId="0" fontId="13" fillId="8" borderId="1" xfId="0" applyFont="1" applyFill="1" applyBorder="1"/>
    <xf numFmtId="176" fontId="18" fillId="3" borderId="1" xfId="0" applyNumberFormat="1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/>
    </xf>
    <xf numFmtId="176" fontId="12" fillId="4" borderId="1" xfId="0" applyNumberFormat="1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176" fontId="18" fillId="7" borderId="1" xfId="0" applyNumberFormat="1" applyFont="1" applyFill="1" applyBorder="1" applyAlignment="1">
      <alignment horizontal="center" vertical="center"/>
    </xf>
    <xf numFmtId="176" fontId="12" fillId="7" borderId="1" xfId="0" applyNumberFormat="1" applyFont="1" applyFill="1" applyBorder="1" applyAlignment="1">
      <alignment horizontal="center" vertical="center"/>
    </xf>
    <xf numFmtId="0" fontId="1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3E5F5"/>
      <rgbColor rgb="FFFFFF99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176" zoomScaleNormal="100" workbookViewId="0">
      <selection sqref="A1:K17"/>
    </sheetView>
  </sheetViews>
  <sheetFormatPr baseColWidth="10" defaultColWidth="8.6640625" defaultRowHeight="15"/>
  <cols>
    <col min="1" max="1" width="6" customWidth="1"/>
    <col min="2" max="4" width="10" customWidth="1"/>
    <col min="5" max="5" width="9" customWidth="1"/>
    <col min="6" max="8" width="6" customWidth="1"/>
    <col min="9" max="9" width="12" customWidth="1"/>
    <col min="10" max="10" width="8" customWidth="1"/>
    <col min="11" max="11" width="9" customWidth="1"/>
  </cols>
  <sheetData>
    <row r="1" spans="1:11" ht="21" customHeight="1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2.25" customHeight="1">
      <c r="A3" s="13" t="s">
        <v>14</v>
      </c>
      <c r="B3" s="13" t="s">
        <v>56</v>
      </c>
      <c r="C3" s="13" t="s">
        <v>57</v>
      </c>
      <c r="D3" s="13" t="s">
        <v>58</v>
      </c>
      <c r="E3" s="13" t="s">
        <v>59</v>
      </c>
      <c r="F3" s="13" t="s">
        <v>0</v>
      </c>
      <c r="G3" s="13" t="s">
        <v>1</v>
      </c>
      <c r="H3" s="13" t="s">
        <v>2</v>
      </c>
      <c r="I3" s="13" t="s">
        <v>60</v>
      </c>
      <c r="J3" s="13" t="s">
        <v>3</v>
      </c>
      <c r="K3" s="13" t="s">
        <v>61</v>
      </c>
    </row>
    <row r="4" spans="1:11" ht="15" customHeight="1">
      <c r="A4" s="5">
        <v>1</v>
      </c>
      <c r="B4" s="5">
        <v>1</v>
      </c>
      <c r="C4" s="5">
        <v>1</v>
      </c>
      <c r="D4" s="5">
        <v>0</v>
      </c>
      <c r="E4" s="5">
        <v>10</v>
      </c>
      <c r="F4" s="5">
        <v>120</v>
      </c>
      <c r="G4" s="5">
        <v>120</v>
      </c>
      <c r="H4" s="5">
        <v>100</v>
      </c>
      <c r="I4" s="5">
        <f t="shared" ref="I4:I15" si="0">G4-H4</f>
        <v>20</v>
      </c>
      <c r="J4" s="23" t="s">
        <v>4</v>
      </c>
      <c r="K4" s="24">
        <f>2/12</f>
        <v>0.16666666666666666</v>
      </c>
    </row>
    <row r="5" spans="1:11" ht="15" customHeight="1">
      <c r="A5" s="5">
        <v>2</v>
      </c>
      <c r="B5" s="5">
        <v>1</v>
      </c>
      <c r="C5" s="5">
        <v>1</v>
      </c>
      <c r="D5" s="5">
        <v>0</v>
      </c>
      <c r="E5" s="5">
        <v>10</v>
      </c>
      <c r="F5" s="5">
        <v>120</v>
      </c>
      <c r="G5" s="5">
        <v>120</v>
      </c>
      <c r="H5" s="5">
        <v>100</v>
      </c>
      <c r="I5" s="5">
        <f t="shared" si="0"/>
        <v>20</v>
      </c>
      <c r="J5" s="5"/>
      <c r="K5" s="5"/>
    </row>
    <row r="6" spans="1:11" ht="15" customHeight="1">
      <c r="A6" s="6">
        <v>3</v>
      </c>
      <c r="B6" s="6">
        <v>2</v>
      </c>
      <c r="C6" s="6">
        <v>1</v>
      </c>
      <c r="D6" s="6">
        <v>0</v>
      </c>
      <c r="E6" s="6">
        <v>4</v>
      </c>
      <c r="F6" s="6">
        <v>130</v>
      </c>
      <c r="G6" s="6">
        <v>130</v>
      </c>
      <c r="H6" s="6">
        <v>80</v>
      </c>
      <c r="I6" s="6">
        <f t="shared" si="0"/>
        <v>50</v>
      </c>
      <c r="J6" s="25">
        <f>AVERAGEIF(C6:C8,1,F6:F8)-AVERAGEIF(D6:D8,1,F6:F8)</f>
        <v>50</v>
      </c>
      <c r="K6" s="25">
        <f>3/12</f>
        <v>0.25</v>
      </c>
    </row>
    <row r="7" spans="1:11" ht="15" customHeight="1">
      <c r="A7" s="6">
        <v>4</v>
      </c>
      <c r="B7" s="6">
        <v>2</v>
      </c>
      <c r="C7" s="6">
        <v>1</v>
      </c>
      <c r="D7" s="6">
        <v>0</v>
      </c>
      <c r="E7" s="6">
        <v>4</v>
      </c>
      <c r="F7" s="6">
        <v>130</v>
      </c>
      <c r="G7" s="6">
        <v>130</v>
      </c>
      <c r="H7" s="6">
        <v>80</v>
      </c>
      <c r="I7" s="6">
        <f t="shared" si="0"/>
        <v>50</v>
      </c>
      <c r="J7" s="6"/>
      <c r="K7" s="6"/>
    </row>
    <row r="8" spans="1:11" ht="15" customHeight="1">
      <c r="A8" s="6">
        <v>5</v>
      </c>
      <c r="B8" s="6">
        <v>2</v>
      </c>
      <c r="C8" s="6">
        <v>0</v>
      </c>
      <c r="D8" s="6">
        <v>1</v>
      </c>
      <c r="E8" s="6">
        <v>4</v>
      </c>
      <c r="F8" s="6">
        <v>80</v>
      </c>
      <c r="G8" s="6">
        <v>130</v>
      </c>
      <c r="H8" s="6">
        <v>80</v>
      </c>
      <c r="I8" s="6">
        <f t="shared" si="0"/>
        <v>50</v>
      </c>
      <c r="J8" s="6"/>
      <c r="K8" s="6"/>
    </row>
    <row r="9" spans="1:11" ht="15" customHeight="1">
      <c r="A9" s="7">
        <v>6</v>
      </c>
      <c r="B9" s="7">
        <v>3</v>
      </c>
      <c r="C9" s="7">
        <v>1</v>
      </c>
      <c r="D9" s="7">
        <v>0</v>
      </c>
      <c r="E9" s="7">
        <v>3</v>
      </c>
      <c r="F9" s="7">
        <v>100</v>
      </c>
      <c r="G9" s="7">
        <v>100</v>
      </c>
      <c r="H9" s="7">
        <v>70</v>
      </c>
      <c r="I9" s="7">
        <f t="shared" si="0"/>
        <v>30</v>
      </c>
      <c r="J9" s="26">
        <f>AVERAGEIF(C9:C11,1,F9:F11)-AVERAGEIF(D9:D11,1,F9:F11)</f>
        <v>30</v>
      </c>
      <c r="K9" s="26">
        <f>3/12</f>
        <v>0.25</v>
      </c>
    </row>
    <row r="10" spans="1:11" ht="15" customHeight="1">
      <c r="A10" s="7">
        <v>7</v>
      </c>
      <c r="B10" s="7">
        <v>3</v>
      </c>
      <c r="C10" s="7">
        <v>0</v>
      </c>
      <c r="D10" s="7">
        <v>1</v>
      </c>
      <c r="E10" s="7">
        <v>3</v>
      </c>
      <c r="F10" s="7">
        <v>70</v>
      </c>
      <c r="G10" s="7">
        <v>100</v>
      </c>
      <c r="H10" s="7">
        <v>70</v>
      </c>
      <c r="I10" s="7">
        <f t="shared" si="0"/>
        <v>30</v>
      </c>
      <c r="J10" s="7"/>
      <c r="K10" s="7"/>
    </row>
    <row r="11" spans="1:11" ht="15" customHeight="1">
      <c r="A11" s="7">
        <v>8</v>
      </c>
      <c r="B11" s="7">
        <v>3</v>
      </c>
      <c r="C11" s="7">
        <v>0</v>
      </c>
      <c r="D11" s="7">
        <v>1</v>
      </c>
      <c r="E11" s="7">
        <v>3</v>
      </c>
      <c r="F11" s="7">
        <v>70</v>
      </c>
      <c r="G11" s="7">
        <v>100</v>
      </c>
      <c r="H11" s="7">
        <v>70</v>
      </c>
      <c r="I11" s="7">
        <f t="shared" si="0"/>
        <v>30</v>
      </c>
      <c r="J11" s="7"/>
      <c r="K11" s="7"/>
    </row>
    <row r="12" spans="1:11" ht="15" customHeight="1">
      <c r="A12" s="8">
        <v>9</v>
      </c>
      <c r="B12" s="8">
        <v>4</v>
      </c>
      <c r="C12" s="8">
        <v>1</v>
      </c>
      <c r="D12" s="8">
        <v>0</v>
      </c>
      <c r="E12" s="8">
        <v>2</v>
      </c>
      <c r="F12" s="8">
        <v>70</v>
      </c>
      <c r="G12" s="8">
        <v>70</v>
      </c>
      <c r="H12" s="8">
        <v>50</v>
      </c>
      <c r="I12" s="8">
        <f t="shared" si="0"/>
        <v>20</v>
      </c>
      <c r="J12" s="27">
        <f>AVERAGEIF(C12:C13,1,F12:F13)-AVERAGEIF(D12:D13,1,F12:F13)</f>
        <v>20</v>
      </c>
      <c r="K12" s="27">
        <f>2/12</f>
        <v>0.16666666666666666</v>
      </c>
    </row>
    <row r="13" spans="1:11" ht="15" customHeight="1">
      <c r="A13" s="8">
        <v>10</v>
      </c>
      <c r="B13" s="8">
        <v>4</v>
      </c>
      <c r="C13" s="8">
        <v>0</v>
      </c>
      <c r="D13" s="8">
        <v>1</v>
      </c>
      <c r="E13" s="8">
        <v>2</v>
      </c>
      <c r="F13" s="8">
        <v>50</v>
      </c>
      <c r="G13" s="8">
        <v>70</v>
      </c>
      <c r="H13" s="8">
        <v>50</v>
      </c>
      <c r="I13" s="8">
        <f t="shared" si="0"/>
        <v>20</v>
      </c>
      <c r="J13" s="8"/>
      <c r="K13" s="8"/>
    </row>
    <row r="14" spans="1:11" ht="15" customHeight="1">
      <c r="A14" s="9">
        <v>11</v>
      </c>
      <c r="B14" s="9">
        <v>5</v>
      </c>
      <c r="C14" s="9">
        <v>0</v>
      </c>
      <c r="D14" s="9">
        <v>1</v>
      </c>
      <c r="E14" s="9">
        <v>1</v>
      </c>
      <c r="F14" s="9">
        <v>30</v>
      </c>
      <c r="G14" s="9">
        <v>40</v>
      </c>
      <c r="H14" s="9">
        <v>30</v>
      </c>
      <c r="I14" s="9">
        <f t="shared" si="0"/>
        <v>10</v>
      </c>
      <c r="J14" s="28" t="s">
        <v>4</v>
      </c>
      <c r="K14" s="29">
        <f>2/12</f>
        <v>0.16666666666666666</v>
      </c>
    </row>
    <row r="15" spans="1:11" ht="15" customHeight="1">
      <c r="A15" s="9">
        <v>12</v>
      </c>
      <c r="B15" s="9">
        <v>5</v>
      </c>
      <c r="C15" s="9">
        <v>0</v>
      </c>
      <c r="D15" s="9">
        <v>1</v>
      </c>
      <c r="E15" s="9">
        <v>1</v>
      </c>
      <c r="F15" s="9">
        <v>30</v>
      </c>
      <c r="G15" s="9">
        <v>40</v>
      </c>
      <c r="H15" s="9">
        <v>30</v>
      </c>
      <c r="I15" s="9">
        <f t="shared" si="0"/>
        <v>10</v>
      </c>
      <c r="J15" s="9"/>
      <c r="K15" s="9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" customHeight="1">
      <c r="A17" s="30" t="s">
        <v>62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</row>
  </sheetData>
  <mergeCells count="2">
    <mergeCell ref="A1:K1"/>
    <mergeCell ref="A17:K17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="150" zoomScaleNormal="100" workbookViewId="0">
      <selection sqref="A1:G7"/>
    </sheetView>
  </sheetViews>
  <sheetFormatPr baseColWidth="10" defaultColWidth="8.6640625" defaultRowHeight="15"/>
  <cols>
    <col min="1" max="1" width="16" customWidth="1"/>
    <col min="2" max="6" width="14" customWidth="1"/>
    <col min="7" max="7" width="16" customWidth="1"/>
  </cols>
  <sheetData>
    <row r="1" spans="1:7" ht="21" customHeight="1">
      <c r="A1" s="1" t="s">
        <v>40</v>
      </c>
      <c r="B1" s="1"/>
      <c r="C1" s="1"/>
      <c r="D1" s="1"/>
      <c r="E1" s="1"/>
      <c r="F1" s="1"/>
      <c r="G1" s="1"/>
    </row>
    <row r="2" spans="1:7">
      <c r="A2" s="2"/>
      <c r="B2" s="2"/>
      <c r="C2" s="2"/>
      <c r="D2" s="2"/>
      <c r="E2" s="2"/>
      <c r="F2" s="2"/>
      <c r="G2" s="2"/>
    </row>
    <row r="3" spans="1:7" ht="45" customHeight="1">
      <c r="A3" s="13"/>
      <c r="B3" s="13" t="s">
        <v>41</v>
      </c>
      <c r="C3" s="13" t="s">
        <v>42</v>
      </c>
      <c r="D3" s="13" t="s">
        <v>43</v>
      </c>
      <c r="E3" s="13" t="s">
        <v>44</v>
      </c>
      <c r="F3" s="13" t="s">
        <v>45</v>
      </c>
      <c r="G3" s="13" t="s">
        <v>46</v>
      </c>
    </row>
    <row r="4" spans="1:7" ht="16.5" customHeight="1">
      <c r="A4" s="22" t="s">
        <v>47</v>
      </c>
      <c r="B4" s="16">
        <v>56.667000000000002</v>
      </c>
      <c r="C4" s="16">
        <v>35</v>
      </c>
      <c r="D4" s="16">
        <v>34.545000000000002</v>
      </c>
      <c r="E4" s="16">
        <v>34.545000000000002</v>
      </c>
      <c r="F4" s="16">
        <v>35</v>
      </c>
      <c r="G4" s="16">
        <v>42.137</v>
      </c>
    </row>
    <row r="5" spans="1:7" ht="15" customHeight="1">
      <c r="A5" s="22" t="s">
        <v>48</v>
      </c>
      <c r="B5" s="14" t="s">
        <v>49</v>
      </c>
      <c r="C5" s="14" t="s">
        <v>50</v>
      </c>
      <c r="D5" s="14" t="s">
        <v>50</v>
      </c>
      <c r="E5" s="14" t="s">
        <v>50</v>
      </c>
      <c r="F5" s="14" t="s">
        <v>50</v>
      </c>
      <c r="G5" s="14" t="s">
        <v>50</v>
      </c>
    </row>
    <row r="6" spans="1:7" ht="15" customHeight="1">
      <c r="A6" s="22" t="s">
        <v>51</v>
      </c>
      <c r="B6" s="14" t="s">
        <v>52</v>
      </c>
      <c r="C6" s="14" t="s">
        <v>53</v>
      </c>
      <c r="D6" s="14" t="s">
        <v>52</v>
      </c>
      <c r="E6" s="14" t="s">
        <v>53</v>
      </c>
      <c r="F6" s="14" t="s">
        <v>53</v>
      </c>
      <c r="G6" s="14" t="s">
        <v>52</v>
      </c>
    </row>
    <row r="7" spans="1:7" ht="15" customHeight="1">
      <c r="A7" s="22" t="s">
        <v>54</v>
      </c>
      <c r="B7" s="14">
        <v>12</v>
      </c>
      <c r="C7" s="14">
        <v>8</v>
      </c>
      <c r="D7" s="14">
        <v>12</v>
      </c>
      <c r="E7" s="14">
        <v>8</v>
      </c>
      <c r="F7" s="14">
        <v>8</v>
      </c>
      <c r="G7" s="14">
        <v>12</v>
      </c>
    </row>
  </sheetData>
  <mergeCells count="1">
    <mergeCell ref="A1:G1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topLeftCell="A4" zoomScale="119" zoomScaleNormal="100" workbookViewId="0">
      <selection activeCell="D17" sqref="D17"/>
    </sheetView>
  </sheetViews>
  <sheetFormatPr baseColWidth="10" defaultColWidth="8.6640625" defaultRowHeight="14"/>
  <cols>
    <col min="1" max="1" width="35" style="2" customWidth="1"/>
    <col min="2" max="2" width="14" style="2" customWidth="1"/>
    <col min="3" max="3" width="30" style="2" customWidth="1"/>
    <col min="4" max="7" width="12" style="2" customWidth="1"/>
    <col min="8" max="8" width="8.6640625" style="2"/>
    <col min="9" max="10" width="14" style="2" customWidth="1"/>
    <col min="11" max="11" width="10" style="2" customWidth="1"/>
    <col min="12" max="13" width="14" style="2" customWidth="1"/>
    <col min="14" max="16384" width="8.6640625" style="2"/>
  </cols>
  <sheetData>
    <row r="1" spans="1:8" ht="17.25" customHeight="1">
      <c r="A1" s="1" t="s">
        <v>12</v>
      </c>
      <c r="B1" s="1"/>
      <c r="C1" s="1"/>
      <c r="D1" s="1"/>
      <c r="E1" s="1"/>
      <c r="F1" s="1"/>
      <c r="G1" s="1"/>
      <c r="H1" s="1"/>
    </row>
    <row r="3" spans="1:8" ht="18.75" customHeight="1">
      <c r="A3" s="3" t="s">
        <v>13</v>
      </c>
    </row>
    <row r="4" spans="1:8" ht="16.5" customHeight="1">
      <c r="A4" s="4" t="s">
        <v>14</v>
      </c>
      <c r="B4" s="4" t="s">
        <v>15</v>
      </c>
      <c r="C4" s="4" t="s">
        <v>16</v>
      </c>
      <c r="D4" s="4" t="s">
        <v>17</v>
      </c>
      <c r="E4" s="4" t="s">
        <v>1</v>
      </c>
      <c r="F4" s="4" t="s">
        <v>2</v>
      </c>
      <c r="G4" s="4" t="s">
        <v>18</v>
      </c>
    </row>
    <row r="5" spans="1:8" ht="15" customHeight="1">
      <c r="A5" s="5">
        <v>1</v>
      </c>
      <c r="B5" s="5">
        <v>1</v>
      </c>
      <c r="C5" s="5">
        <v>10</v>
      </c>
      <c r="D5" s="5">
        <v>120</v>
      </c>
      <c r="E5" s="5">
        <v>120</v>
      </c>
      <c r="F5" s="5">
        <v>100</v>
      </c>
      <c r="G5" s="5">
        <v>1</v>
      </c>
    </row>
    <row r="6" spans="1:8" ht="15" customHeight="1">
      <c r="A6" s="5">
        <v>2</v>
      </c>
      <c r="B6" s="5">
        <v>1</v>
      </c>
      <c r="C6" s="5">
        <v>10</v>
      </c>
      <c r="D6" s="5">
        <v>120</v>
      </c>
      <c r="E6" s="5">
        <v>120</v>
      </c>
      <c r="F6" s="5">
        <v>100</v>
      </c>
      <c r="G6" s="5">
        <v>1</v>
      </c>
    </row>
    <row r="7" spans="1:8" ht="15" customHeight="1">
      <c r="A7" s="6">
        <v>3</v>
      </c>
      <c r="B7" s="6">
        <v>1</v>
      </c>
      <c r="C7" s="6">
        <v>4</v>
      </c>
      <c r="D7" s="6">
        <v>130</v>
      </c>
      <c r="E7" s="6">
        <v>130</v>
      </c>
      <c r="F7" s="6">
        <v>80</v>
      </c>
      <c r="G7" s="6">
        <v>2</v>
      </c>
    </row>
    <row r="8" spans="1:8" ht="15" customHeight="1">
      <c r="A8" s="6">
        <v>4</v>
      </c>
      <c r="B8" s="6">
        <v>1</v>
      </c>
      <c r="C8" s="6">
        <v>4</v>
      </c>
      <c r="D8" s="6">
        <v>130</v>
      </c>
      <c r="E8" s="6">
        <v>130</v>
      </c>
      <c r="F8" s="6">
        <v>80</v>
      </c>
      <c r="G8" s="6">
        <v>2</v>
      </c>
    </row>
    <row r="9" spans="1:8" ht="15" customHeight="1">
      <c r="A9" s="6">
        <v>5</v>
      </c>
      <c r="B9" s="6">
        <v>0</v>
      </c>
      <c r="C9" s="6">
        <v>4</v>
      </c>
      <c r="D9" s="6">
        <v>80</v>
      </c>
      <c r="E9" s="6">
        <v>130</v>
      </c>
      <c r="F9" s="6">
        <v>80</v>
      </c>
      <c r="G9" s="6">
        <v>2</v>
      </c>
    </row>
    <row r="10" spans="1:8" ht="15" customHeight="1">
      <c r="A10" s="7">
        <v>6</v>
      </c>
      <c r="B10" s="7">
        <v>1</v>
      </c>
      <c r="C10" s="7">
        <v>3</v>
      </c>
      <c r="D10" s="7">
        <v>100</v>
      </c>
      <c r="E10" s="7">
        <v>100</v>
      </c>
      <c r="F10" s="7">
        <v>70</v>
      </c>
      <c r="G10" s="7">
        <v>3</v>
      </c>
    </row>
    <row r="11" spans="1:8" ht="15" customHeight="1">
      <c r="A11" s="7">
        <v>7</v>
      </c>
      <c r="B11" s="7">
        <v>0</v>
      </c>
      <c r="C11" s="7">
        <v>3</v>
      </c>
      <c r="D11" s="7">
        <v>70</v>
      </c>
      <c r="E11" s="7">
        <v>100</v>
      </c>
      <c r="F11" s="7">
        <v>70</v>
      </c>
      <c r="G11" s="7">
        <v>3</v>
      </c>
    </row>
    <row r="12" spans="1:8" ht="15" customHeight="1">
      <c r="A12" s="7">
        <v>8</v>
      </c>
      <c r="B12" s="7">
        <v>0</v>
      </c>
      <c r="C12" s="7">
        <v>3</v>
      </c>
      <c r="D12" s="7">
        <v>70</v>
      </c>
      <c r="E12" s="7">
        <v>100</v>
      </c>
      <c r="F12" s="7">
        <v>70</v>
      </c>
      <c r="G12" s="7">
        <v>3</v>
      </c>
    </row>
    <row r="13" spans="1:8" ht="15" customHeight="1">
      <c r="A13" s="8">
        <v>9</v>
      </c>
      <c r="B13" s="8">
        <v>1</v>
      </c>
      <c r="C13" s="8">
        <v>2</v>
      </c>
      <c r="D13" s="8">
        <v>70</v>
      </c>
      <c r="E13" s="8">
        <v>70</v>
      </c>
      <c r="F13" s="8">
        <v>50</v>
      </c>
      <c r="G13" s="8">
        <v>4</v>
      </c>
    </row>
    <row r="14" spans="1:8" ht="15" customHeight="1">
      <c r="A14" s="8">
        <v>10</v>
      </c>
      <c r="B14" s="8">
        <v>0</v>
      </c>
      <c r="C14" s="8">
        <v>2</v>
      </c>
      <c r="D14" s="8">
        <v>50</v>
      </c>
      <c r="E14" s="8">
        <v>70</v>
      </c>
      <c r="F14" s="8">
        <v>50</v>
      </c>
      <c r="G14" s="8">
        <v>4</v>
      </c>
    </row>
    <row r="15" spans="1:8" ht="15" customHeight="1">
      <c r="A15" s="9">
        <v>11</v>
      </c>
      <c r="B15" s="9">
        <v>0</v>
      </c>
      <c r="C15" s="9">
        <v>1</v>
      </c>
      <c r="D15" s="9">
        <v>30</v>
      </c>
      <c r="E15" s="9">
        <v>40</v>
      </c>
      <c r="F15" s="9">
        <v>30</v>
      </c>
      <c r="G15" s="9">
        <v>5</v>
      </c>
    </row>
    <row r="16" spans="1:8" ht="15" customHeight="1">
      <c r="A16" s="9">
        <v>12</v>
      </c>
      <c r="B16" s="9">
        <v>0</v>
      </c>
      <c r="C16" s="9">
        <v>1</v>
      </c>
      <c r="D16" s="9">
        <v>30</v>
      </c>
      <c r="E16" s="9">
        <v>40</v>
      </c>
      <c r="F16" s="9">
        <v>30</v>
      </c>
      <c r="G16" s="9">
        <v>5</v>
      </c>
    </row>
    <row r="19" spans="1:13" ht="18.75" customHeight="1">
      <c r="A19" s="3" t="s">
        <v>19</v>
      </c>
    </row>
    <row r="20" spans="1:13" ht="16.5" customHeight="1">
      <c r="A20" s="10" t="s">
        <v>20</v>
      </c>
      <c r="B20" s="11">
        <f>AVERAGEIF(B5:B16,1,D5:D16)</f>
        <v>111.66666666666667</v>
      </c>
    </row>
    <row r="21" spans="1:13" ht="16.5" customHeight="1">
      <c r="A21" s="10" t="s">
        <v>21</v>
      </c>
      <c r="B21" s="11">
        <f>AVERAGEIF(B5:B16,0,D5:D16)</f>
        <v>55</v>
      </c>
    </row>
    <row r="22" spans="1:13" ht="16.5" customHeight="1">
      <c r="A22" s="12" t="s">
        <v>22</v>
      </c>
      <c r="B22" s="11">
        <f>B20-B21</f>
        <v>56.666666666666671</v>
      </c>
    </row>
    <row r="24" spans="1:13" ht="15" customHeight="1">
      <c r="A24" s="3" t="s">
        <v>23</v>
      </c>
    </row>
    <row r="25" spans="1:13" ht="16.5" customHeight="1">
      <c r="A25" s="13" t="s">
        <v>18</v>
      </c>
      <c r="B25" s="13" t="s">
        <v>24</v>
      </c>
      <c r="C25" s="13" t="s">
        <v>25</v>
      </c>
      <c r="D25" s="13" t="s">
        <v>26</v>
      </c>
      <c r="E25" s="13" t="s">
        <v>27</v>
      </c>
      <c r="F25" s="13" t="s">
        <v>5</v>
      </c>
      <c r="G25" s="13" t="s">
        <v>6</v>
      </c>
      <c r="H25" s="13" t="s">
        <v>7</v>
      </c>
      <c r="I25" s="13" t="s">
        <v>8</v>
      </c>
      <c r="J25" s="13" t="s">
        <v>9</v>
      </c>
      <c r="K25" s="13" t="s">
        <v>10</v>
      </c>
      <c r="L25" s="13" t="s">
        <v>28</v>
      </c>
      <c r="M25" s="13" t="s">
        <v>29</v>
      </c>
    </row>
    <row r="26" spans="1:13" ht="15" customHeight="1">
      <c r="A26" s="5">
        <v>1</v>
      </c>
      <c r="B26" s="5">
        <v>10</v>
      </c>
      <c r="C26" s="14">
        <f>COUNTA(B5:B6)</f>
        <v>2</v>
      </c>
      <c r="D26" s="14">
        <f>COUNTIF(B5:B6,1)</f>
        <v>2</v>
      </c>
      <c r="E26" s="14">
        <f>COUNTIF(B5:B6,0)</f>
        <v>0</v>
      </c>
      <c r="F26" s="15">
        <f>C26/12</f>
        <v>0.16666666666666666</v>
      </c>
      <c r="G26" s="15">
        <f>D26/C26</f>
        <v>1</v>
      </c>
      <c r="H26" s="15">
        <f>G26*(1-G26)</f>
        <v>0</v>
      </c>
      <c r="I26" s="14">
        <f>IF(D26=0,"N/A",AVERAGEIFS(D5:D6,B5:B6,1))</f>
        <v>120</v>
      </c>
      <c r="J26" s="14" t="str">
        <f>IF(E26=0,"N/A",AVERAGEIFS(D5:D6,B5:B6,0))</f>
        <v>N/A</v>
      </c>
      <c r="K26" s="16" t="str">
        <f>IF(OR(D26=0,E26=0),"N/A",I26-J26)</f>
        <v>N/A</v>
      </c>
      <c r="L26" s="16" t="s">
        <v>11</v>
      </c>
      <c r="M26" s="16" t="s">
        <v>11</v>
      </c>
    </row>
    <row r="27" spans="1:13" ht="15" customHeight="1">
      <c r="A27" s="6">
        <v>2</v>
      </c>
      <c r="B27" s="6">
        <v>4</v>
      </c>
      <c r="C27" s="14">
        <f>COUNTA(B7:B9)</f>
        <v>3</v>
      </c>
      <c r="D27" s="14">
        <f>COUNTIF(B7:B9,1)</f>
        <v>2</v>
      </c>
      <c r="E27" s="14">
        <f>COUNTIF(B7:B9,0)</f>
        <v>1</v>
      </c>
      <c r="F27" s="15">
        <f>C27/12</f>
        <v>0.25</v>
      </c>
      <c r="G27" s="15">
        <f>D27/C27</f>
        <v>0.66666666666666663</v>
      </c>
      <c r="H27" s="15">
        <f>G27*(1-G27)</f>
        <v>0.22222222222222224</v>
      </c>
      <c r="I27" s="14">
        <f>IF(D27=0,"N/A",AVERAGEIFS(D7:D9,B7:B9,1))</f>
        <v>130</v>
      </c>
      <c r="J27" s="14">
        <f>IF(E27=0,"N/A",AVERAGEIFS(D7:D9,B7:B9,0))</f>
        <v>80</v>
      </c>
      <c r="K27" s="16">
        <f>IF(OR(D27=0,E27=0),"N/A",I27-J27)</f>
        <v>50</v>
      </c>
      <c r="L27" s="16">
        <f>F27/(F27+F28+F29)</f>
        <v>0.375</v>
      </c>
      <c r="M27" s="16">
        <f>F27*H27/(F27*H27+F28*H28+F29*H29)</f>
        <v>0.36363636363636365</v>
      </c>
    </row>
    <row r="28" spans="1:13" ht="15" customHeight="1">
      <c r="A28" s="7">
        <v>3</v>
      </c>
      <c r="B28" s="7">
        <v>3</v>
      </c>
      <c r="C28" s="14">
        <f>COUNTA(B10:B12)</f>
        <v>3</v>
      </c>
      <c r="D28" s="14">
        <f>COUNTIF(B10:B12,1)</f>
        <v>1</v>
      </c>
      <c r="E28" s="14">
        <f>COUNTIF(B10:B12,0)</f>
        <v>2</v>
      </c>
      <c r="F28" s="15">
        <f>C28/12</f>
        <v>0.25</v>
      </c>
      <c r="G28" s="15">
        <f>D28/C28</f>
        <v>0.33333333333333331</v>
      </c>
      <c r="H28" s="15">
        <f>G28*(1-G28)</f>
        <v>0.22222222222222224</v>
      </c>
      <c r="I28" s="14">
        <f>IF(D28=0,"N/A",AVERAGEIFS(D10:D12,B10:B12,1))</f>
        <v>100</v>
      </c>
      <c r="J28" s="14">
        <f>IF(E28=0,"N/A",AVERAGEIFS(D10:D12,B10:B12,0))</f>
        <v>70</v>
      </c>
      <c r="K28" s="16">
        <f>IF(OR(D28=0,E28=0),"N/A",I28-J28)</f>
        <v>30</v>
      </c>
      <c r="L28" s="16">
        <f>F28/(F27+F28+F29)</f>
        <v>0.375</v>
      </c>
      <c r="M28" s="16">
        <f>F28*H28/(F27*H27+F28*H28+F29*H29)</f>
        <v>0.36363636363636365</v>
      </c>
    </row>
    <row r="29" spans="1:13" ht="15" customHeight="1">
      <c r="A29" s="8">
        <v>4</v>
      </c>
      <c r="B29" s="8">
        <v>2</v>
      </c>
      <c r="C29" s="14">
        <f>COUNTA(B13:B14)</f>
        <v>2</v>
      </c>
      <c r="D29" s="14">
        <f>COUNTIF(B13:B14,1)</f>
        <v>1</v>
      </c>
      <c r="E29" s="14">
        <f>COUNTIF(B13:B14,0)</f>
        <v>1</v>
      </c>
      <c r="F29" s="15">
        <f>C29/12</f>
        <v>0.16666666666666666</v>
      </c>
      <c r="G29" s="15">
        <f>D29/C29</f>
        <v>0.5</v>
      </c>
      <c r="H29" s="15">
        <f>G29*(1-G29)</f>
        <v>0.25</v>
      </c>
      <c r="I29" s="14">
        <f>IF(D29=0,"N/A",AVERAGEIFS(D13:D14,B13:B14,1))</f>
        <v>70</v>
      </c>
      <c r="J29" s="14">
        <f>IF(E29=0,"N/A",AVERAGEIFS(D13:D14,B13:B14,0))</f>
        <v>50</v>
      </c>
      <c r="K29" s="16">
        <f>IF(OR(D29=0,E29=0),"N/A",I29-J29)</f>
        <v>20</v>
      </c>
      <c r="L29" s="16">
        <f>F29/(F27+F28+F29)</f>
        <v>0.25</v>
      </c>
      <c r="M29" s="16">
        <f>F29*H29/(F27*H27+F28*H28+F29*H29)</f>
        <v>0.27272727272727271</v>
      </c>
    </row>
    <row r="30" spans="1:13" ht="15" customHeight="1">
      <c r="A30" s="9">
        <v>5</v>
      </c>
      <c r="B30" s="9">
        <v>1</v>
      </c>
      <c r="C30" s="14">
        <f>COUNTA(B15:B16)</f>
        <v>2</v>
      </c>
      <c r="D30" s="14">
        <f>COUNTIF(B15:B16,1)</f>
        <v>0</v>
      </c>
      <c r="E30" s="14">
        <f>COUNTIF(B15:B16,0)</f>
        <v>2</v>
      </c>
      <c r="F30" s="15">
        <f>C30/12</f>
        <v>0.16666666666666666</v>
      </c>
      <c r="G30" s="15">
        <f>D30/C30</f>
        <v>0</v>
      </c>
      <c r="H30" s="15">
        <f>G30*(1-G30)</f>
        <v>0</v>
      </c>
      <c r="I30" s="14" t="str">
        <f>IF(D30=0,"N/A",AVERAGEIFS(D15:D16,B15:B16,1))</f>
        <v>N/A</v>
      </c>
      <c r="J30" s="14">
        <f>IF(E30=0,"N/A",AVERAGEIFS(D15:D16,B15:B16,0))</f>
        <v>30</v>
      </c>
      <c r="K30" s="16" t="str">
        <f>IF(OR(D30=0,E30=0),"N/A",I30-J30)</f>
        <v>N/A</v>
      </c>
      <c r="L30" s="16" t="s">
        <v>11</v>
      </c>
      <c r="M30" s="16" t="s">
        <v>11</v>
      </c>
    </row>
    <row r="33" spans="1:3" ht="15" customHeight="1">
      <c r="A33" s="3" t="s">
        <v>30</v>
      </c>
    </row>
    <row r="34" spans="1:3" ht="16.5" customHeight="1">
      <c r="A34" s="12" t="s">
        <v>31</v>
      </c>
      <c r="B34" s="17">
        <f>B22</f>
        <v>56.666666666666671</v>
      </c>
      <c r="C34" s="18" t="s">
        <v>32</v>
      </c>
    </row>
    <row r="35" spans="1:3" ht="16.5" customHeight="1">
      <c r="A35" s="12" t="s">
        <v>33</v>
      </c>
      <c r="B35" s="17">
        <f>L27*K27+L28*K28+L29*K29</f>
        <v>35</v>
      </c>
      <c r="C35" s="18" t="s">
        <v>34</v>
      </c>
    </row>
    <row r="36" spans="1:3" ht="16.5" customHeight="1">
      <c r="A36" s="12" t="s">
        <v>35</v>
      </c>
      <c r="B36" s="17">
        <f>M27*K27+M28*K28+M29*K29</f>
        <v>34.545454545454547</v>
      </c>
      <c r="C36" s="18" t="s">
        <v>36</v>
      </c>
    </row>
    <row r="38" spans="1:3" ht="15" customHeight="1">
      <c r="A38" s="3" t="s">
        <v>37</v>
      </c>
    </row>
    <row r="39" spans="1:3" ht="16.5" customHeight="1">
      <c r="A39" s="19" t="s">
        <v>38</v>
      </c>
      <c r="B39" s="20">
        <f>AVERAGE(E5:E16)-AVERAGE(F5:F16)</f>
        <v>28.333333333333329</v>
      </c>
      <c r="C39" s="21" t="s">
        <v>39</v>
      </c>
    </row>
  </sheetData>
  <mergeCells count="1">
    <mergeCell ref="A1:H1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 模拟数据</vt:lpstr>
      <vt:lpstr>表2 估计方法比较</vt:lpstr>
      <vt:lpstr>分块计算过程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孙翊铭</cp:lastModifiedBy>
  <cp:revision>0</cp:revision>
  <dcterms:created xsi:type="dcterms:W3CDTF">2026-03-31T01:40:41Z</dcterms:created>
  <dcterms:modified xsi:type="dcterms:W3CDTF">2026-03-31T01:49:51Z</dcterms:modified>
  <dc:language>en-US</dc:language>
</cp:coreProperties>
</file>